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b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55A1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Electricity Bill by Warehouse (AUD)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'Warehouses'!K3</f>
            </strRef>
          </tx>
          <spPr>
            <a:ln>
              <a:prstDash val="solid"/>
            </a:ln>
          </spPr>
          <cat>
            <numRef>
              <f>'Warehouses'!$B$4:$B$23</f>
            </numRef>
          </cat>
          <val>
            <numRef>
              <f>'Warehouses'!$K$4:$K$23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AUD 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35" customWidth="1" min="4" max="4"/>
    <col width="18" customWidth="1" min="5" max="5"/>
    <col width="11" customWidth="1" min="6" max="6"/>
    <col width="11" customWidth="1" min="7" max="7"/>
    <col width="12" customWidth="1" min="8" max="8"/>
    <col width="10" customWidth="1" min="9" max="9"/>
    <col width="11" customWidth="1" min="10" max="10"/>
    <col width="13" customWidth="1" min="11" max="11"/>
    <col width="14" customWidth="1" min="12" max="12"/>
    <col width="14" customWidth="1" min="13" max="13"/>
    <col width="13" customWidth="1" min="14" max="14"/>
    <col width="11" customWidth="1" min="15" max="15"/>
  </cols>
  <sheetData>
    <row r="1" ht="28" customHeight="1">
      <c r="A1" s="1" t="inlineStr">
        <is>
          <t>Greater Sydney — Warehouses With No Solar Generation</t>
        </is>
      </c>
    </row>
    <row r="2" ht="16" customHeight="1">
      <c r="A2" s="2" t="inlineStr">
        <is>
          <t>Buildings &gt;500 m² · Ausgrid EA305 tariff · Sydney, NSW · 2024-25</t>
        </is>
      </c>
    </row>
    <row r="3" ht="30" customHeight="1">
      <c r="A3" s="3" t="inlineStr">
        <is>
          <t>#</t>
        </is>
      </c>
      <c r="B3" s="3" t="inlineStr">
        <is>
          <t>OSM ID</t>
        </is>
      </c>
      <c r="C3" s="3" t="inlineStr">
        <is>
          <t>Name</t>
        </is>
      </c>
      <c r="D3" s="3" t="inlineStr">
        <is>
          <t>Address</t>
        </is>
      </c>
      <c r="E3" s="3" t="inlineStr">
        <is>
          <t>Suburb</t>
        </is>
      </c>
      <c r="F3" s="3" t="inlineStr">
        <is>
          <t>Lat</t>
        </is>
      </c>
      <c r="G3" s="3" t="inlineStr">
        <is>
          <t>Lng</t>
        </is>
      </c>
      <c r="H3" s="3" t="inlineStr">
        <is>
          <t>Roof Area
(m²)</t>
        </is>
      </c>
      <c r="I3" s="3" t="inlineStr">
        <is>
          <t>Solar
Detected</t>
        </is>
      </c>
      <c r="J3" s="3" t="inlineStr">
        <is>
          <t>Annual
kWh</t>
        </is>
      </c>
      <c r="K3" s="3" t="inlineStr">
        <is>
          <t>Annual Bill
(AUD $)</t>
        </is>
      </c>
      <c r="L3" s="3" t="inlineStr">
        <is>
          <t>Solar
Capacity (kWp)</t>
        </is>
      </c>
      <c r="M3" s="3" t="inlineStr">
        <is>
          <t>Solar
Saving ($/yr)</t>
        </is>
      </c>
      <c r="N3" s="3" t="inlineStr">
        <is>
          <t>Solar
Capex ($)</t>
        </is>
      </c>
      <c r="O3" s="3" t="inlineStr">
        <is>
          <t>Payback
(Years)</t>
        </is>
      </c>
    </row>
    <row r="4">
      <c r="A4" s="4" t="n">
        <v>1</v>
      </c>
      <c r="B4" s="4" t="n">
        <v>314655990</v>
      </c>
      <c r="C4" s="4" t="inlineStr">
        <is>
          <t>Coles CDC</t>
        </is>
      </c>
      <c r="D4" s="4" t="inlineStr">
        <is>
          <t>Hartley Road, Smeaton Grange, New South Wales</t>
        </is>
      </c>
      <c r="E4" s="4" t="n">
        <v/>
      </c>
      <c r="F4" s="5" t="n">
        <v>-34.040692</v>
      </c>
      <c r="G4" s="5" t="n">
        <v>150.763855</v>
      </c>
      <c r="H4" s="6" t="n">
        <v>66474.5</v>
      </c>
      <c r="I4" s="7" t="inlineStr">
        <is>
          <t>No</t>
        </is>
      </c>
      <c r="J4" s="6" t="n">
        <v>4985588</v>
      </c>
      <c r="K4" s="8" t="n">
        <v>1155864</v>
      </c>
      <c r="L4" s="5" t="n">
        <v>6780.4</v>
      </c>
      <c r="M4" s="8" t="n">
        <v>1155864</v>
      </c>
      <c r="N4" s="8" t="n">
        <v>7119419</v>
      </c>
      <c r="O4" s="5" t="n">
        <v>6.2</v>
      </c>
    </row>
    <row r="5">
      <c r="A5" s="9" t="n">
        <v>2</v>
      </c>
      <c r="B5" s="9" t="n">
        <v>314655992</v>
      </c>
      <c r="C5" s="9" t="n">
        <v/>
      </c>
      <c r="D5" s="9" t="inlineStr">
        <is>
          <t>Anzac Avenue, Smeaton Grange, New South Wales</t>
        </is>
      </c>
      <c r="E5" s="9" t="n">
        <v/>
      </c>
      <c r="F5" s="10" t="n">
        <v>-34.038326</v>
      </c>
      <c r="G5" s="10" t="n">
        <v>150.758456</v>
      </c>
      <c r="H5" s="11" t="n">
        <v>13338.9</v>
      </c>
      <c r="I5" s="12" t="inlineStr">
        <is>
          <t>No</t>
        </is>
      </c>
      <c r="J5" s="11" t="n">
        <v>1000418</v>
      </c>
      <c r="K5" s="13" t="n">
        <v>233173</v>
      </c>
      <c r="L5" s="10" t="n">
        <v>1360.6</v>
      </c>
      <c r="M5" s="13" t="n">
        <v>233173</v>
      </c>
      <c r="N5" s="13" t="n">
        <v>1428596</v>
      </c>
      <c r="O5" s="10" t="n">
        <v>6.1</v>
      </c>
    </row>
    <row r="6">
      <c r="A6" s="4" t="n">
        <v>3</v>
      </c>
      <c r="B6" s="4" t="n">
        <v>314655988</v>
      </c>
      <c r="C6" s="4" t="n">
        <v/>
      </c>
      <c r="D6" s="4" t="inlineStr">
        <is>
          <t>Hartley Road, Smeaton Grange, New South Wales</t>
        </is>
      </c>
      <c r="E6" s="4" t="n">
        <v/>
      </c>
      <c r="F6" s="5" t="n">
        <v>-34.03919</v>
      </c>
      <c r="G6" s="5" t="n">
        <v>150.754589</v>
      </c>
      <c r="H6" s="6" t="n">
        <v>11514.1</v>
      </c>
      <c r="I6" s="7" t="inlineStr">
        <is>
          <t>No</t>
        </is>
      </c>
      <c r="J6" s="6" t="n">
        <v>863558</v>
      </c>
      <c r="K6" s="8" t="n">
        <v>201486</v>
      </c>
      <c r="L6" s="5" t="n">
        <v>1174.4</v>
      </c>
      <c r="M6" s="8" t="n">
        <v>201486</v>
      </c>
      <c r="N6" s="8" t="n">
        <v>1233160</v>
      </c>
      <c r="O6" s="5" t="n">
        <v>6.1</v>
      </c>
    </row>
    <row r="7">
      <c r="A7" s="9" t="n">
        <v>4</v>
      </c>
      <c r="B7" s="9" t="n">
        <v>314655985</v>
      </c>
      <c r="C7" s="9" t="n">
        <v/>
      </c>
      <c r="D7" s="9" t="inlineStr">
        <is>
          <t>101, Smeaton Grange Road, Smeaton Grange, New South Wales</t>
        </is>
      </c>
      <c r="E7" s="9" t="n">
        <v/>
      </c>
      <c r="F7" s="10" t="n">
        <v>-34.041433</v>
      </c>
      <c r="G7" s="10" t="n">
        <v>150.755728</v>
      </c>
      <c r="H7" s="11" t="n">
        <v>9227.799999999999</v>
      </c>
      <c r="I7" s="12" t="inlineStr">
        <is>
          <t>No</t>
        </is>
      </c>
      <c r="J7" s="11" t="n">
        <v>692085</v>
      </c>
      <c r="K7" s="13" t="n">
        <v>161785</v>
      </c>
      <c r="L7" s="10" t="n">
        <v>941.2</v>
      </c>
      <c r="M7" s="13" t="n">
        <v>161785</v>
      </c>
      <c r="N7" s="13" t="n">
        <v>988297</v>
      </c>
      <c r="O7" s="10" t="n">
        <v>6.1</v>
      </c>
    </row>
    <row r="8">
      <c r="A8" s="4" t="n">
        <v>5</v>
      </c>
      <c r="B8" s="4" t="n">
        <v>314655984</v>
      </c>
      <c r="C8" s="4" t="n">
        <v/>
      </c>
      <c r="D8" s="4" t="inlineStr">
        <is>
          <t>Hartley Road, Smeaton Grange, New South Wales</t>
        </is>
      </c>
      <c r="E8" s="4" t="n">
        <v/>
      </c>
      <c r="F8" s="5" t="n">
        <v>-34.03931</v>
      </c>
      <c r="G8" s="5" t="n">
        <v>150.759393</v>
      </c>
      <c r="H8" s="6" t="n">
        <v>7377.4</v>
      </c>
      <c r="I8" s="7" t="inlineStr">
        <is>
          <t>No</t>
        </is>
      </c>
      <c r="J8" s="6" t="n">
        <v>553305</v>
      </c>
      <c r="K8" s="8" t="n">
        <v>129653</v>
      </c>
      <c r="L8" s="5" t="n">
        <v>752.5</v>
      </c>
      <c r="M8" s="8" t="n">
        <v>129653</v>
      </c>
      <c r="N8" s="8" t="n">
        <v>790120</v>
      </c>
      <c r="O8" s="5" t="n">
        <v>6.1</v>
      </c>
    </row>
    <row r="9">
      <c r="A9" s="9" t="n">
        <v>6</v>
      </c>
      <c r="B9" s="9" t="n">
        <v>314655987</v>
      </c>
      <c r="C9" s="9" t="n">
        <v/>
      </c>
      <c r="D9" s="9" t="inlineStr">
        <is>
          <t>10, Bluett Drive, Smeaton Grange, New South Wales</t>
        </is>
      </c>
      <c r="E9" s="9" t="n">
        <v/>
      </c>
      <c r="F9" s="10" t="n">
        <v>-34.038571</v>
      </c>
      <c r="G9" s="10" t="n">
        <v>150.75995</v>
      </c>
      <c r="H9" s="11" t="n">
        <v>6101.6</v>
      </c>
      <c r="I9" s="12" t="inlineStr">
        <is>
          <t>No</t>
        </is>
      </c>
      <c r="J9" s="11" t="n">
        <v>457620</v>
      </c>
      <c r="K9" s="13" t="n">
        <v>107499</v>
      </c>
      <c r="L9" s="10" t="n">
        <v>622.4</v>
      </c>
      <c r="M9" s="13" t="n">
        <v>107499</v>
      </c>
      <c r="N9" s="13" t="n">
        <v>653481</v>
      </c>
      <c r="O9" s="10" t="n">
        <v>6.1</v>
      </c>
    </row>
    <row r="10">
      <c r="A10" s="4" t="n">
        <v>7</v>
      </c>
      <c r="B10" s="4" t="n">
        <v>314655991</v>
      </c>
      <c r="C10" s="4" t="n">
        <v/>
      </c>
      <c r="D10" s="4" t="inlineStr">
        <is>
          <t>Hartley Road, Smeaton Grange, New South Wales</t>
        </is>
      </c>
      <c r="E10" s="4" t="n">
        <v/>
      </c>
      <c r="F10" s="5" t="n">
        <v>-34.039047</v>
      </c>
      <c r="G10" s="5" t="n">
        <v>150.757917</v>
      </c>
      <c r="H10" s="6" t="n">
        <v>5899.7</v>
      </c>
      <c r="I10" s="7" t="inlineStr">
        <is>
          <t>No</t>
        </is>
      </c>
      <c r="J10" s="6" t="n">
        <v>442478</v>
      </c>
      <c r="K10" s="8" t="n">
        <v>103993</v>
      </c>
      <c r="L10" s="5" t="n">
        <v>601.8</v>
      </c>
      <c r="M10" s="8" t="n">
        <v>103993</v>
      </c>
      <c r="N10" s="8" t="n">
        <v>631858</v>
      </c>
      <c r="O10" s="5" t="n">
        <v>6.1</v>
      </c>
    </row>
    <row r="11">
      <c r="A11" s="9" t="n">
        <v>8</v>
      </c>
      <c r="B11" s="9" t="n">
        <v>314655989</v>
      </c>
      <c r="C11" s="9" t="n">
        <v/>
      </c>
      <c r="D11" s="9" t="inlineStr">
        <is>
          <t>Anzac Avenue, Smeaton Grange, New South Wales</t>
        </is>
      </c>
      <c r="E11" s="9" t="n">
        <v/>
      </c>
      <c r="F11" s="10" t="n">
        <v>-34.037854</v>
      </c>
      <c r="G11" s="10" t="n">
        <v>150.756959</v>
      </c>
      <c r="H11" s="11" t="n">
        <v>4879.3</v>
      </c>
      <c r="I11" s="12" t="inlineStr">
        <is>
          <t>No</t>
        </is>
      </c>
      <c r="J11" s="11" t="n">
        <v>365948</v>
      </c>
      <c r="K11" s="13" t="n">
        <v>86274</v>
      </c>
      <c r="L11" s="10" t="n">
        <v>497.7</v>
      </c>
      <c r="M11" s="13" t="n">
        <v>86274</v>
      </c>
      <c r="N11" s="13" t="n">
        <v>522573</v>
      </c>
      <c r="O11" s="10" t="n">
        <v>6.1</v>
      </c>
    </row>
    <row r="12">
      <c r="A12" s="4" t="n">
        <v>9</v>
      </c>
      <c r="B12" s="4" t="n">
        <v>314655986</v>
      </c>
      <c r="C12" s="4" t="n">
        <v/>
      </c>
      <c r="D12" s="4" t="inlineStr">
        <is>
          <t>Anzac Avenue, Smeaton Grange, New South Wales</t>
        </is>
      </c>
      <c r="E12" s="4" t="n">
        <v/>
      </c>
      <c r="F12" s="5" t="n">
        <v>-34.040523</v>
      </c>
      <c r="G12" s="5" t="n">
        <v>150.756302</v>
      </c>
      <c r="H12" s="6" t="n">
        <v>3445.9</v>
      </c>
      <c r="I12" s="7" t="inlineStr">
        <is>
          <t>No</t>
        </is>
      </c>
      <c r="J12" s="6" t="n">
        <v>258442</v>
      </c>
      <c r="K12" s="8" t="n">
        <v>61383</v>
      </c>
      <c r="L12" s="5" t="n">
        <v>351.5</v>
      </c>
      <c r="M12" s="8" t="n">
        <v>61383</v>
      </c>
      <c r="N12" s="8" t="n">
        <v>369056</v>
      </c>
      <c r="O12" s="5" t="n">
        <v>6</v>
      </c>
    </row>
    <row r="13">
      <c r="A13" s="9" t="n">
        <v>10</v>
      </c>
      <c r="B13" s="9" t="n">
        <v>48628097</v>
      </c>
      <c r="C13" s="9" t="n">
        <v/>
      </c>
      <c r="D13" s="9" t="inlineStr">
        <is>
          <t>Maldon Bridge Road, Picton, New South Wales</t>
        </is>
      </c>
      <c r="E13" s="9" t="n">
        <v/>
      </c>
      <c r="F13" s="10" t="n">
        <v>-34.196273</v>
      </c>
      <c r="G13" s="10" t="n">
        <v>150.635416</v>
      </c>
      <c r="H13" s="11" t="n">
        <v>3226.7</v>
      </c>
      <c r="I13" s="12" t="inlineStr">
        <is>
          <t>No</t>
        </is>
      </c>
      <c r="J13" s="11" t="n">
        <v>242002</v>
      </c>
      <c r="K13" s="13" t="n">
        <v>57577</v>
      </c>
      <c r="L13" s="10" t="n">
        <v>329.1</v>
      </c>
      <c r="M13" s="13" t="n">
        <v>57577</v>
      </c>
      <c r="N13" s="13" t="n">
        <v>345580</v>
      </c>
      <c r="O13" s="10" t="n">
        <v>6</v>
      </c>
    </row>
    <row r="14">
      <c r="A14" s="4" t="n">
        <v>11</v>
      </c>
      <c r="B14" s="4" t="n">
        <v>1299908543</v>
      </c>
      <c r="C14" s="4" t="n">
        <v/>
      </c>
      <c r="D14" s="4" t="inlineStr">
        <is>
          <t>Little Street, Camden, New South Wales</t>
        </is>
      </c>
      <c r="E14" s="4" t="n">
        <v/>
      </c>
      <c r="F14" s="5" t="n">
        <v>-34.060883</v>
      </c>
      <c r="G14" s="5" t="n">
        <v>150.691935</v>
      </c>
      <c r="H14" s="6" t="n">
        <v>2177.2</v>
      </c>
      <c r="I14" s="7" t="inlineStr">
        <is>
          <t>No</t>
        </is>
      </c>
      <c r="J14" s="6" t="n">
        <v>163290</v>
      </c>
      <c r="K14" s="8" t="n">
        <v>39352</v>
      </c>
      <c r="L14" s="5" t="n">
        <v>222.1</v>
      </c>
      <c r="M14" s="8" t="n">
        <v>39352</v>
      </c>
      <c r="N14" s="8" t="n">
        <v>233178</v>
      </c>
      <c r="O14" s="5" t="n">
        <v>5.9</v>
      </c>
    </row>
    <row r="15">
      <c r="A15" s="9" t="n">
        <v>12</v>
      </c>
      <c r="B15" s="9" t="n">
        <v>827468619</v>
      </c>
      <c r="C15" s="9" t="n">
        <v/>
      </c>
      <c r="D15" s="9" t="inlineStr">
        <is>
          <t>Edward Street, Camden, New South Wales</t>
        </is>
      </c>
      <c r="E15" s="9" t="n">
        <v/>
      </c>
      <c r="F15" s="10" t="n">
        <v>-34.052075</v>
      </c>
      <c r="G15" s="10" t="n">
        <v>150.699376</v>
      </c>
      <c r="H15" s="11" t="n">
        <v>1651.4</v>
      </c>
      <c r="I15" s="12" t="inlineStr">
        <is>
          <t>No</t>
        </is>
      </c>
      <c r="J15" s="11" t="n">
        <v>123855</v>
      </c>
      <c r="K15" s="13" t="n">
        <v>30222</v>
      </c>
      <c r="L15" s="10" t="n">
        <v>168.4</v>
      </c>
      <c r="M15" s="13" t="n">
        <v>30222</v>
      </c>
      <c r="N15" s="13" t="n">
        <v>176865</v>
      </c>
      <c r="O15" s="10" t="n">
        <v>5.9</v>
      </c>
    </row>
    <row r="16">
      <c r="A16" s="4" t="n">
        <v>13</v>
      </c>
      <c r="B16" s="4" t="n">
        <v>1494099155</v>
      </c>
      <c r="C16" s="4" t="n">
        <v/>
      </c>
      <c r="D16" s="4" t="inlineStr">
        <is>
          <t>269, Mulhollands Road, New South Wales</t>
        </is>
      </c>
      <c r="E16" s="4" t="n">
        <v/>
      </c>
      <c r="F16" s="5" t="n">
        <v>-34.180099</v>
      </c>
      <c r="G16" s="5" t="n">
        <v>150.567492</v>
      </c>
      <c r="H16" s="6" t="n">
        <v>1543</v>
      </c>
      <c r="I16" s="7" t="inlineStr">
        <is>
          <t>No</t>
        </is>
      </c>
      <c r="J16" s="6" t="n">
        <v>115725</v>
      </c>
      <c r="K16" s="8" t="n">
        <v>28340</v>
      </c>
      <c r="L16" s="5" t="n">
        <v>157.4</v>
      </c>
      <c r="M16" s="8" t="n">
        <v>28340</v>
      </c>
      <c r="N16" s="8" t="n">
        <v>165255</v>
      </c>
      <c r="O16" s="5" t="n">
        <v>5.8</v>
      </c>
    </row>
    <row r="17">
      <c r="A17" s="9" t="n">
        <v>14</v>
      </c>
      <c r="B17" s="9" t="n">
        <v>827468622</v>
      </c>
      <c r="C17" s="9" t="n">
        <v/>
      </c>
      <c r="D17" s="9" t="inlineStr">
        <is>
          <t>Mitchell Street, Camden, New South Wales</t>
        </is>
      </c>
      <c r="E17" s="9" t="n">
        <v/>
      </c>
      <c r="F17" s="10" t="n">
        <v>-34.051824</v>
      </c>
      <c r="G17" s="10" t="n">
        <v>150.697813</v>
      </c>
      <c r="H17" s="11" t="n">
        <v>942.9</v>
      </c>
      <c r="I17" s="12" t="inlineStr">
        <is>
          <t>No</t>
        </is>
      </c>
      <c r="J17" s="11" t="n">
        <v>70718</v>
      </c>
      <c r="K17" s="13" t="n">
        <v>17919</v>
      </c>
      <c r="L17" s="10" t="n">
        <v>96.2</v>
      </c>
      <c r="M17" s="13" t="n">
        <v>17919</v>
      </c>
      <c r="N17" s="13" t="n">
        <v>100985</v>
      </c>
      <c r="O17" s="10" t="n">
        <v>5.6</v>
      </c>
    </row>
    <row r="18">
      <c r="A18" s="4" t="n">
        <v>15</v>
      </c>
      <c r="B18" s="4" t="n">
        <v>827468620</v>
      </c>
      <c r="C18" s="4" t="n">
        <v/>
      </c>
      <c r="D18" s="4" t="inlineStr">
        <is>
          <t>28, Edward Street, Camden, New South Wales</t>
        </is>
      </c>
      <c r="E18" s="4" t="n">
        <v/>
      </c>
      <c r="F18" s="5" t="n">
        <v>-34.05166</v>
      </c>
      <c r="G18" s="5" t="n">
        <v>150.698188</v>
      </c>
      <c r="H18" s="6" t="n">
        <v>903.8</v>
      </c>
      <c r="I18" s="7" t="inlineStr">
        <is>
          <t>No</t>
        </is>
      </c>
      <c r="J18" s="6" t="n">
        <v>67785</v>
      </c>
      <c r="K18" s="8" t="n">
        <v>17240</v>
      </c>
      <c r="L18" s="5" t="n">
        <v>92.2</v>
      </c>
      <c r="M18" s="8" t="n">
        <v>17240</v>
      </c>
      <c r="N18" s="8" t="n">
        <v>96797</v>
      </c>
      <c r="O18" s="5" t="n">
        <v>5.6</v>
      </c>
    </row>
    <row r="19">
      <c r="A19" s="9" t="n">
        <v>16</v>
      </c>
      <c r="B19" s="9" t="n">
        <v>1299908548</v>
      </c>
      <c r="C19" s="9" t="n">
        <v/>
      </c>
      <c r="D19" s="9" t="inlineStr">
        <is>
          <t>Little Street, Camden, New South Wales</t>
        </is>
      </c>
      <c r="E19" s="9" t="n">
        <v/>
      </c>
      <c r="F19" s="10" t="n">
        <v>-34.060604</v>
      </c>
      <c r="G19" s="10" t="n">
        <v>150.692913</v>
      </c>
      <c r="H19" s="11" t="n">
        <v>887.9</v>
      </c>
      <c r="I19" s="12" t="inlineStr">
        <is>
          <t>No</t>
        </is>
      </c>
      <c r="J19" s="11" t="n">
        <v>66592</v>
      </c>
      <c r="K19" s="13" t="n">
        <v>16964</v>
      </c>
      <c r="L19" s="10" t="n">
        <v>90.59999999999999</v>
      </c>
      <c r="M19" s="13" t="n">
        <v>16964</v>
      </c>
      <c r="N19" s="13" t="n">
        <v>95094</v>
      </c>
      <c r="O19" s="10" t="n">
        <v>5.6</v>
      </c>
    </row>
    <row r="20">
      <c r="A20" s="4" t="n">
        <v>17</v>
      </c>
      <c r="B20" s="4" t="n">
        <v>48628942</v>
      </c>
      <c r="C20" s="4" t="n">
        <v/>
      </c>
      <c r="D20" s="4" t="inlineStr">
        <is>
          <t>Picton Road, Maldon, New South Wales</t>
        </is>
      </c>
      <c r="E20" s="4" t="n">
        <v/>
      </c>
      <c r="F20" s="5" t="n">
        <v>-34.198466</v>
      </c>
      <c r="G20" s="5" t="n">
        <v>150.64462</v>
      </c>
      <c r="H20" s="6" t="n">
        <v>781.9</v>
      </c>
      <c r="I20" s="7" t="inlineStr">
        <is>
          <t>No</t>
        </is>
      </c>
      <c r="J20" s="6" t="n">
        <v>58642</v>
      </c>
      <c r="K20" s="8" t="n">
        <v>15123</v>
      </c>
      <c r="L20" s="5" t="n">
        <v>79.8</v>
      </c>
      <c r="M20" s="8" t="n">
        <v>15123</v>
      </c>
      <c r="N20" s="8" t="n">
        <v>83741</v>
      </c>
      <c r="O20" s="5" t="n">
        <v>5.5</v>
      </c>
    </row>
    <row r="21">
      <c r="A21" s="9" t="n">
        <v>18</v>
      </c>
      <c r="B21" s="9" t="n">
        <v>48628951</v>
      </c>
      <c r="C21" s="9" t="n">
        <v/>
      </c>
      <c r="D21" s="9" t="inlineStr">
        <is>
          <t>Picton Road, Maldon, New South Wales</t>
        </is>
      </c>
      <c r="E21" s="9" t="n">
        <v/>
      </c>
      <c r="F21" s="10" t="n">
        <v>-34.198803</v>
      </c>
      <c r="G21" s="10" t="n">
        <v>150.644846</v>
      </c>
      <c r="H21" s="11" t="n">
        <v>579.6</v>
      </c>
      <c r="I21" s="12" t="inlineStr">
        <is>
          <t>No</t>
        </is>
      </c>
      <c r="J21" s="11" t="n">
        <v>43470</v>
      </c>
      <c r="K21" s="13" t="n">
        <v>11610</v>
      </c>
      <c r="L21" s="10" t="n">
        <v>59.1</v>
      </c>
      <c r="M21" s="13" t="n">
        <v>11610</v>
      </c>
      <c r="N21" s="13" t="n">
        <v>62075</v>
      </c>
      <c r="O21" s="10" t="n">
        <v>5.3</v>
      </c>
    </row>
    <row r="22">
      <c r="A22" s="4" t="n">
        <v>19</v>
      </c>
      <c r="B22" s="4" t="n">
        <v>827468626</v>
      </c>
      <c r="C22" s="4" t="n">
        <v/>
      </c>
      <c r="D22" s="4" t="inlineStr">
        <is>
          <t>Edward Street, Camden, New South Wales</t>
        </is>
      </c>
      <c r="E22" s="4" t="n">
        <v/>
      </c>
      <c r="F22" s="5" t="n">
        <v>-34.052427</v>
      </c>
      <c r="G22" s="5" t="n">
        <v>150.699328</v>
      </c>
      <c r="H22" s="6" t="n">
        <v>553.7</v>
      </c>
      <c r="I22" s="7" t="inlineStr">
        <is>
          <t>No</t>
        </is>
      </c>
      <c r="J22" s="6" t="n">
        <v>41528</v>
      </c>
      <c r="K22" s="8" t="n">
        <v>11161</v>
      </c>
      <c r="L22" s="5" t="n">
        <v>56.5</v>
      </c>
      <c r="M22" s="8" t="n">
        <v>11161</v>
      </c>
      <c r="N22" s="8" t="n">
        <v>59301</v>
      </c>
      <c r="O22" s="5" t="n">
        <v>5.3</v>
      </c>
    </row>
    <row r="23">
      <c r="A23" s="9" t="n">
        <v>20</v>
      </c>
      <c r="B23" s="9" t="n">
        <v>1299908552</v>
      </c>
      <c r="C23" s="9" t="n">
        <v/>
      </c>
      <c r="D23" s="9" t="inlineStr">
        <is>
          <t>Little Street, Camden, New South Wales</t>
        </is>
      </c>
      <c r="E23" s="9" t="n">
        <v/>
      </c>
      <c r="F23" s="10" t="n">
        <v>-34.060921</v>
      </c>
      <c r="G23" s="10" t="n">
        <v>150.692798</v>
      </c>
      <c r="H23" s="11" t="n">
        <v>508.2</v>
      </c>
      <c r="I23" s="12" t="inlineStr">
        <is>
          <t>No</t>
        </is>
      </c>
      <c r="J23" s="11" t="n">
        <v>38115</v>
      </c>
      <c r="K23" s="13" t="n">
        <v>10371</v>
      </c>
      <c r="L23" s="10" t="n">
        <v>51.8</v>
      </c>
      <c r="M23" s="13" t="n">
        <v>10371</v>
      </c>
      <c r="N23" s="13" t="n">
        <v>54428</v>
      </c>
      <c r="O23" s="10" t="n">
        <v>5.2</v>
      </c>
    </row>
  </sheetData>
  <mergeCells count="2">
    <mergeCell ref="A1:O1"/>
    <mergeCell ref="A2:O2"/>
  </mergeCells>
  <conditionalFormatting sqref="K4:K23">
    <cfRule type="colorScale" priority="1">
      <colorScale>
        <cfvo type="min"/>
        <cfvo type="percentile" val="50"/>
        <cfvo type="max"/>
        <color rgb="0063BE7B"/>
        <color rgb="00F4B942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26" customHeight="1">
      <c r="A1" s="14" t="inlineStr">
        <is>
          <t>Portfolio Summary</t>
        </is>
      </c>
    </row>
    <row r="2" ht="18" customHeight="1">
      <c r="A2" s="4" t="inlineStr">
        <is>
          <t>Total warehouses surveyed</t>
        </is>
      </c>
      <c r="B2" s="5" t="n">
        <v>20</v>
      </c>
    </row>
    <row r="3" ht="18" customHeight="1">
      <c r="A3" s="9" t="inlineStr">
        <is>
          <t>Total roof area (m²)</t>
        </is>
      </c>
      <c r="B3" s="10" t="inlineStr">
        <is>
          <t>142,016</t>
        </is>
      </c>
    </row>
    <row r="4" ht="18" customHeight="1">
      <c r="A4" s="4" t="inlineStr">
        <is>
          <t>Largest site (m²)</t>
        </is>
      </c>
      <c r="B4" s="5" t="inlineStr">
        <is>
          <t>66,474</t>
        </is>
      </c>
    </row>
    <row r="5" ht="18" customHeight="1">
      <c r="A5" s="9" t="inlineStr">
        <is>
          <t>Smallest site (m²)</t>
        </is>
      </c>
      <c r="B5" s="10" t="inlineStr">
        <is>
          <t>508</t>
        </is>
      </c>
    </row>
    <row r="6" ht="18" customHeight="1">
      <c r="A6" s="4" t="inlineStr"/>
      <c r="B6" s="5" t="inlineStr"/>
    </row>
    <row r="7" ht="18" customHeight="1">
      <c r="A7" s="15" t="inlineStr">
        <is>
          <t>── Energy &amp; Cost ──</t>
        </is>
      </c>
      <c r="B7" s="16" t="inlineStr"/>
    </row>
    <row r="8" ht="18" customHeight="1">
      <c r="A8" s="4" t="inlineStr">
        <is>
          <t>Combined annual consumption (MWh)</t>
        </is>
      </c>
      <c r="B8" s="5" t="inlineStr">
        <is>
          <t>10,651</t>
        </is>
      </c>
    </row>
    <row r="9" ht="18" customHeight="1">
      <c r="A9" s="9" t="inlineStr">
        <is>
          <t>Combined annual electricity bill</t>
        </is>
      </c>
      <c r="B9" s="10" t="inlineStr">
        <is>
          <t>$2,496,990</t>
        </is>
      </c>
    </row>
    <row r="10" ht="18" customHeight="1">
      <c r="A10" s="4" t="inlineStr">
        <is>
          <t>Average bill per site</t>
        </is>
      </c>
      <c r="B10" s="5" t="inlineStr">
        <is>
          <t>$124,849</t>
        </is>
      </c>
    </row>
    <row r="11" ht="18" customHeight="1">
      <c r="A11" s="9" t="inlineStr"/>
      <c r="B11" s="10" t="inlineStr"/>
    </row>
    <row r="12" ht="18" customHeight="1">
      <c r="A12" s="15" t="inlineStr">
        <is>
          <t>── Solar Opportunity ──</t>
        </is>
      </c>
      <c r="B12" s="16" t="inlineStr"/>
    </row>
    <row r="13" ht="18" customHeight="1">
      <c r="A13" s="9" t="inlineStr">
        <is>
          <t>Total installable solar (kWp)</t>
        </is>
      </c>
      <c r="B13" s="10" t="inlineStr">
        <is>
          <t>14,486</t>
        </is>
      </c>
    </row>
    <row r="14" ht="18" customHeight="1">
      <c r="A14" s="4" t="inlineStr">
        <is>
          <t>Total solar generation (MWh/yr)</t>
        </is>
      </c>
      <c r="B14" s="5" t="inlineStr">
        <is>
          <t>10,651</t>
        </is>
      </c>
    </row>
    <row r="15" ht="18" customHeight="1">
      <c r="A15" s="9" t="inlineStr">
        <is>
          <t>Total annual saving if solar added</t>
        </is>
      </c>
      <c r="B15" s="10" t="inlineStr">
        <is>
          <t>$2,496,990</t>
        </is>
      </c>
    </row>
    <row r="16" ht="18" customHeight="1">
      <c r="A16" s="4" t="inlineStr">
        <is>
          <t>Total capital cost (solar)</t>
        </is>
      </c>
      <c r="B16" s="5" t="inlineStr">
        <is>
          <t>$15,209,859</t>
        </is>
      </c>
    </row>
    <row r="17" ht="18" customHeight="1">
      <c r="A17" s="9" t="inlineStr">
        <is>
          <t>Average simple payback</t>
        </is>
      </c>
      <c r="B17" s="10" t="inlineStr">
        <is>
          <t>5.8 years</t>
        </is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2026-06-08T13:25:23Z</dcterms:created>
  <dcterms:modified xsi:type="dcterms:W3CDTF">2026-06-08T13:25:23Z</dcterms:modified>
</cp:coreProperties>
</file>